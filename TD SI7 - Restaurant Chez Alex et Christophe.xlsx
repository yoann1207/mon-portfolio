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5"/>
    <sheet state="visible" name="bilan 2016" sheetId="2" r:id="rId6"/>
  </sheets>
  <definedNames/>
  <calcPr/>
</workbook>
</file>

<file path=xl/sharedStrings.xml><?xml version="1.0" encoding="utf-8"?>
<sst xmlns="http://schemas.openxmlformats.org/spreadsheetml/2006/main" count="84" uniqueCount="62">
  <si>
    <t>Tableau des charges fixes</t>
  </si>
  <si>
    <t>Tableau du prix des ventes</t>
  </si>
  <si>
    <t>Tableau des matières premières</t>
  </si>
  <si>
    <t>Taxes et impôts</t>
  </si>
  <si>
    <t>Libellé</t>
  </si>
  <si>
    <t>par mois</t>
  </si>
  <si>
    <t>par an</t>
  </si>
  <si>
    <t>Produit</t>
  </si>
  <si>
    <t>Prix</t>
  </si>
  <si>
    <t>Coût</t>
  </si>
  <si>
    <t>Type</t>
  </si>
  <si>
    <t>Taux</t>
  </si>
  <si>
    <t>loyer</t>
  </si>
  <si>
    <t>menu 1</t>
  </si>
  <si>
    <t>taxe menu</t>
  </si>
  <si>
    <t>cuisine</t>
  </si>
  <si>
    <t>menu 2</t>
  </si>
  <si>
    <t>taxe boisson</t>
  </si>
  <si>
    <t>factures edf eau</t>
  </si>
  <si>
    <t>menu 3</t>
  </si>
  <si>
    <t>entretien</t>
  </si>
  <si>
    <t>soft</t>
  </si>
  <si>
    <t>publicité</t>
  </si>
  <si>
    <t>alcool</t>
  </si>
  <si>
    <t>prime assurance</t>
  </si>
  <si>
    <t>emprunt bancaire</t>
  </si>
  <si>
    <t>personnel</t>
  </si>
  <si>
    <t>TOTAL</t>
  </si>
  <si>
    <t>Tableau répartition des ventes</t>
  </si>
  <si>
    <t>Jan</t>
  </si>
  <si>
    <t>Fév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</si>
  <si>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</si>
  <si>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</si>
  <si>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</si>
  <si>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</si>
  <si>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</si>
  <si>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</si>
  <si>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</si>
  <si>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</si>
  <si>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</si>
  <si>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</si>
  <si>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Menu 1</t>
  </si>
  <si>
    <t>Menu 2</t>
  </si>
  <si>
    <t>Menu 3</t>
  </si>
  <si>
    <t>Soft</t>
  </si>
  <si>
    <t>Alcool</t>
  </si>
  <si>
    <t>Libellés</t>
  </si>
  <si>
    <t>CA menu 1</t>
  </si>
  <si>
    <t>CA menu 2</t>
  </si>
  <si>
    <t>CA menu 3</t>
  </si>
  <si>
    <t>CA soft</t>
  </si>
  <si>
    <t>CA alcool</t>
  </si>
  <si>
    <t>TOTAL CA</t>
  </si>
  <si>
    <t>Charge fixe</t>
  </si>
  <si>
    <t>matière 1ère menu 1</t>
  </si>
  <si>
    <t>matière 1ère menu 2</t>
  </si>
  <si>
    <t>matière 1ère menu 3</t>
  </si>
  <si>
    <t>matière 1ère soft</t>
  </si>
  <si>
    <t>matière 1ère alcool</t>
  </si>
  <si>
    <t>charge variable</t>
  </si>
  <si>
    <t>total coûts</t>
  </si>
  <si>
    <t>Résultat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</si>
</sst>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4">
    <font>
      <sz val="10.0"/>
      <color rgb="FF000000"/>
      <name val="Arial"/>
      <scheme val="minor"/>
    </font>
    <font>
      <b/>
      <sz val="11.0"/>
      <color rgb="FF000000"/>
      <name val="Montserrat"/>
    </font>
    <font>
      <sz val="10.0"/>
      <color rgb="FF000000"/>
      <name val="Roboto"/>
    </font>
    <font>
      <sz val="10.0"/>
      <color rgb="FF1A1B2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2" numFmtId="0" xfId="0" applyFill="1" applyFont="1"/>
    <xf borderId="0" fillId="0" fontId="3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164" xfId="0" applyFill="1" applyFont="1" applyNumberFormat="1"/>
    <xf borderId="0" fillId="3" fontId="2" numFmtId="164" xfId="0" applyFill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bilan 201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Résultat par rapport à Libellés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'bilan 2016'!$A$18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'bilan 2016'!$B$1:$M$1</c:f>
            </c:strRef>
          </c:cat>
          <c:val>
            <c:numRef>
              <c:f>'bilan 2016'!$B$18:$M$18</c:f>
              <c:numCache/>
            </c:numRef>
          </c:val>
          <c:smooth val="0"/>
        </c:ser>
        <c:axId val="1978594417"/>
        <c:axId val="708095282"/>
      </c:lineChart>
      <c:catAx>
        <c:axId val="1978594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Libellés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095282"/>
      </c:catAx>
      <c:valAx>
        <c:axId val="708095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Résultat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594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19</xdr:row>
      <xdr:rowOff>171450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18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bilan 20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1" t="s">
        <v>2</v>
      </c>
      <c r="I1" s="2"/>
      <c r="J1" s="2"/>
      <c r="K1" s="1" t="s">
        <v>3</v>
      </c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4</v>
      </c>
      <c r="B2" s="1" t="s">
        <v>5</v>
      </c>
      <c r="C2" s="1" t="s">
        <v>6</v>
      </c>
      <c r="D2" s="2"/>
      <c r="E2" s="1" t="s">
        <v>7</v>
      </c>
      <c r="F2" s="1" t="s">
        <v>8</v>
      </c>
      <c r="G2" s="2"/>
      <c r="H2" s="1" t="s">
        <v>7</v>
      </c>
      <c r="I2" s="1" t="s">
        <v>9</v>
      </c>
      <c r="J2" s="2"/>
      <c r="K2" s="1" t="s">
        <v>10</v>
      </c>
      <c r="L2" s="1" t="s">
        <v>11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>
        <v>1000.0</v>
      </c>
      <c r="C3" s="6">
        <v>12000.0</v>
      </c>
      <c r="D3" s="3"/>
      <c r="E3" s="5" t="s">
        <v>13</v>
      </c>
      <c r="F3" s="6">
        <v>15.0</v>
      </c>
      <c r="G3" s="3"/>
      <c r="H3" s="5" t="s">
        <v>13</v>
      </c>
      <c r="I3" s="6">
        <v>10.0</v>
      </c>
      <c r="J3" s="3"/>
      <c r="K3" s="5" t="s">
        <v>14</v>
      </c>
      <c r="L3" s="6">
        <v>0.1</v>
      </c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15</v>
      </c>
      <c r="B4" s="6">
        <v>250.0</v>
      </c>
      <c r="C4" s="6">
        <v>3000.0</v>
      </c>
      <c r="D4" s="3"/>
      <c r="E4" s="5" t="s">
        <v>16</v>
      </c>
      <c r="F4" s="6">
        <v>25.0</v>
      </c>
      <c r="G4" s="3"/>
      <c r="H4" s="5" t="s">
        <v>16</v>
      </c>
      <c r="I4" s="6">
        <v>15.0</v>
      </c>
      <c r="J4" s="3"/>
      <c r="K4" s="5" t="s">
        <v>17</v>
      </c>
      <c r="L4" s="6">
        <v>0.2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18</v>
      </c>
      <c r="B5" s="6">
        <v>200.0</v>
      </c>
      <c r="C5" s="6">
        <v>2400.0</v>
      </c>
      <c r="D5" s="3"/>
      <c r="E5" s="5" t="s">
        <v>19</v>
      </c>
      <c r="F5" s="6">
        <v>35.0</v>
      </c>
      <c r="G5" s="3"/>
      <c r="H5" s="5" t="s">
        <v>19</v>
      </c>
      <c r="I5" s="6">
        <v>20.0</v>
      </c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6">
        <v>100.0</v>
      </c>
      <c r="C6" s="6">
        <v>1200.0</v>
      </c>
      <c r="D6" s="3"/>
      <c r="E6" s="5" t="s">
        <v>21</v>
      </c>
      <c r="F6" s="6">
        <v>3.0</v>
      </c>
      <c r="G6" s="3"/>
      <c r="H6" s="5" t="s">
        <v>21</v>
      </c>
      <c r="I6" s="6">
        <v>1.0</v>
      </c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22</v>
      </c>
      <c r="B7" s="5">
        <v>66.6666666666666</v>
      </c>
      <c r="C7" s="6">
        <v>800.0</v>
      </c>
      <c r="D7" s="3"/>
      <c r="E7" s="5" t="s">
        <v>23</v>
      </c>
      <c r="F7" s="6">
        <v>6.0</v>
      </c>
      <c r="G7" s="3"/>
      <c r="H7" s="5" t="s">
        <v>23</v>
      </c>
      <c r="I7" s="6">
        <v>2.0</v>
      </c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24</v>
      </c>
      <c r="B8" s="6">
        <v>100.0</v>
      </c>
      <c r="C8" s="6">
        <v>1200.0</v>
      </c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25</v>
      </c>
      <c r="B9" s="6">
        <v>250.0</v>
      </c>
      <c r="C9" s="6">
        <v>3000.0</v>
      </c>
      <c r="D9" s="3"/>
      <c r="E9" s="3"/>
      <c r="F9" s="3"/>
      <c r="G9" s="3"/>
      <c r="H9" s="3"/>
      <c r="I9" s="3"/>
      <c r="J9" s="3"/>
      <c r="K9" s="3"/>
      <c r="L9" s="3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26</v>
      </c>
      <c r="B10" s="6">
        <v>2730.0</v>
      </c>
      <c r="C10" s="6">
        <v>32760.0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27</v>
      </c>
      <c r="B11" s="3">
        <f t="shared" ref="B11:C11" si="1">SUM(B3:B10)</f>
        <v>4696.666667</v>
      </c>
      <c r="C11" s="3">
        <f t="shared" si="1"/>
        <v>56360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7</v>
      </c>
      <c r="B15" s="1" t="s">
        <v>29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39</v>
      </c>
      <c r="M15" s="1" t="s">
        <v>40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41</v>
      </c>
      <c r="B16" s="6">
        <v>130.0</v>
      </c>
      <c r="C16" s="6">
        <v>70.0</v>
      </c>
      <c r="D16" s="6">
        <v>250.0</v>
      </c>
      <c r="E16" s="6">
        <v>220.0</v>
      </c>
      <c r="F16" s="6">
        <v>70.0</v>
      </c>
      <c r="G16" s="6">
        <v>150.0</v>
      </c>
      <c r="H16" s="6">
        <v>100.0</v>
      </c>
      <c r="I16" s="6">
        <v>240.0</v>
      </c>
      <c r="J16" s="6">
        <v>60.0</v>
      </c>
      <c r="K16" s="6">
        <v>70.0</v>
      </c>
      <c r="L16" s="6">
        <v>100.0</v>
      </c>
      <c r="M16" s="6">
        <v>130.0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42</v>
      </c>
      <c r="B17" s="6">
        <v>90.0</v>
      </c>
      <c r="C17" s="6">
        <v>90.0</v>
      </c>
      <c r="D17" s="6">
        <v>210.0</v>
      </c>
      <c r="E17" s="6">
        <v>80.0</v>
      </c>
      <c r="F17" s="6">
        <v>160.0</v>
      </c>
      <c r="G17" s="6">
        <v>140.0</v>
      </c>
      <c r="H17" s="6">
        <v>200.0</v>
      </c>
      <c r="I17" s="6">
        <v>150.0</v>
      </c>
      <c r="J17" s="6">
        <v>90.0</v>
      </c>
      <c r="K17" s="6">
        <v>170.0</v>
      </c>
      <c r="L17" s="6">
        <v>230.0</v>
      </c>
      <c r="M17" s="6">
        <v>60.0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43</v>
      </c>
      <c r="B18" s="6">
        <v>80.0</v>
      </c>
      <c r="C18" s="6">
        <v>130.0</v>
      </c>
      <c r="D18" s="6">
        <v>180.0</v>
      </c>
      <c r="E18" s="6">
        <v>90.0</v>
      </c>
      <c r="F18" s="6">
        <v>210.0</v>
      </c>
      <c r="G18" s="6">
        <v>250.0</v>
      </c>
      <c r="H18" s="6">
        <v>70.0</v>
      </c>
      <c r="I18" s="6">
        <v>140.0</v>
      </c>
      <c r="J18" s="6">
        <v>80.0</v>
      </c>
      <c r="K18" s="6">
        <v>60.0</v>
      </c>
      <c r="L18" s="6">
        <v>190.0</v>
      </c>
      <c r="M18" s="6">
        <v>130.0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44</v>
      </c>
      <c r="B19" s="6">
        <v>130.0</v>
      </c>
      <c r="C19" s="6">
        <v>250.0</v>
      </c>
      <c r="D19" s="6">
        <v>60.0</v>
      </c>
      <c r="E19" s="6">
        <v>190.0</v>
      </c>
      <c r="F19" s="6">
        <v>250.0</v>
      </c>
      <c r="G19" s="6">
        <v>130.0</v>
      </c>
      <c r="H19" s="6">
        <v>170.0</v>
      </c>
      <c r="I19" s="6">
        <v>110.0</v>
      </c>
      <c r="J19" s="6">
        <v>150.0</v>
      </c>
      <c r="K19" s="6">
        <v>60.0</v>
      </c>
      <c r="L19" s="6">
        <v>210.0</v>
      </c>
      <c r="M19" s="6">
        <v>60.0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45</v>
      </c>
      <c r="B20" s="6">
        <v>130.0</v>
      </c>
      <c r="C20" s="6">
        <v>180.0</v>
      </c>
      <c r="D20" s="6">
        <v>140.0</v>
      </c>
      <c r="E20" s="6">
        <v>240.0</v>
      </c>
      <c r="F20" s="6">
        <v>90.0</v>
      </c>
      <c r="G20" s="6">
        <v>180.0</v>
      </c>
      <c r="H20" s="6">
        <v>170.0</v>
      </c>
      <c r="I20" s="6">
        <v>90.0</v>
      </c>
      <c r="J20" s="6">
        <v>140.0</v>
      </c>
      <c r="K20" s="6">
        <v>220.0</v>
      </c>
      <c r="L20" s="6">
        <v>140.0</v>
      </c>
      <c r="M20" s="6">
        <v>190.0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46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27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47</v>
      </c>
      <c r="B2" s="9">
        <f>'données'!B16*'données'!$F$3</f>
        <v>1950</v>
      </c>
      <c r="C2" s="9">
        <f>'données'!C16*'données'!$F$3</f>
        <v>1050</v>
      </c>
      <c r="D2" s="9">
        <f>'données'!D16*'données'!$F$3</f>
        <v>3750</v>
      </c>
      <c r="E2" s="9">
        <f>'données'!E16*'données'!$F$3</f>
        <v>3300</v>
      </c>
      <c r="F2" s="9">
        <f>'données'!F16*'données'!$F$3</f>
        <v>1050</v>
      </c>
      <c r="G2" s="9">
        <f>'données'!G16*'données'!$F$3</f>
        <v>2250</v>
      </c>
      <c r="H2" s="9">
        <f>'données'!H16*'données'!$F$3</f>
        <v>1500</v>
      </c>
      <c r="I2" s="9">
        <f>'données'!I16*'données'!$F$3</f>
        <v>3600</v>
      </c>
      <c r="J2" s="9">
        <f>'données'!J16*'données'!$F$3</f>
        <v>900</v>
      </c>
      <c r="K2" s="9">
        <f>'données'!K16*'données'!$F$3</f>
        <v>1050</v>
      </c>
      <c r="L2" s="9">
        <f>'données'!L16*'données'!$F$3</f>
        <v>1500</v>
      </c>
      <c r="M2" s="9">
        <f>'données'!M16*'données'!$F$3</f>
        <v>1950</v>
      </c>
      <c r="N2" s="9">
        <f t="shared" ref="N2:N18" si="1">SUM(B2:M2)</f>
        <v>23850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48</v>
      </c>
      <c r="B3" s="9">
        <f>'données'!B17*'données'!$F$4</f>
        <v>2250</v>
      </c>
      <c r="C3" s="9">
        <f>'données'!C17*'données'!$F$4</f>
        <v>2250</v>
      </c>
      <c r="D3" s="9">
        <f>'données'!D17*'données'!$F$4</f>
        <v>5250</v>
      </c>
      <c r="E3" s="9">
        <f>'données'!E17*'données'!$F$4</f>
        <v>2000</v>
      </c>
      <c r="F3" s="9">
        <f>'données'!F17*'données'!$F$4</f>
        <v>4000</v>
      </c>
      <c r="G3" s="9">
        <f>'données'!G17*'données'!$F$4</f>
        <v>3500</v>
      </c>
      <c r="H3" s="9">
        <f>'données'!H17*'données'!$F$4</f>
        <v>5000</v>
      </c>
      <c r="I3" s="9">
        <f>'données'!I17*'données'!$F$4</f>
        <v>3750</v>
      </c>
      <c r="J3" s="9">
        <f>'données'!J17*'données'!$F$4</f>
        <v>2250</v>
      </c>
      <c r="K3" s="9">
        <f>'données'!K17*'données'!$F$4</f>
        <v>4250</v>
      </c>
      <c r="L3" s="9">
        <f>'données'!L17*'données'!$F$4</f>
        <v>5750</v>
      </c>
      <c r="M3" s="9">
        <f>'données'!M17*'données'!$F$4</f>
        <v>1500</v>
      </c>
      <c r="N3" s="9">
        <f t="shared" si="1"/>
        <v>41750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49</v>
      </c>
      <c r="B4" s="9">
        <f>'données'!B18*'données'!$F$5</f>
        <v>2800</v>
      </c>
      <c r="C4" s="9">
        <f>'données'!C18*'données'!$F$5</f>
        <v>4550</v>
      </c>
      <c r="D4" s="9">
        <f>'données'!D18*'données'!$F$5</f>
        <v>6300</v>
      </c>
      <c r="E4" s="9">
        <f>'données'!E18*'données'!$F$5</f>
        <v>3150</v>
      </c>
      <c r="F4" s="9">
        <f>'données'!F18*'données'!$F$5</f>
        <v>7350</v>
      </c>
      <c r="G4" s="9">
        <f>'données'!G18*'données'!$F$5</f>
        <v>8750</v>
      </c>
      <c r="H4" s="9">
        <f>'données'!H18*'données'!$F$5</f>
        <v>2450</v>
      </c>
      <c r="I4" s="9">
        <f>'données'!I18*'données'!$F$5</f>
        <v>4900</v>
      </c>
      <c r="J4" s="9">
        <f>'données'!J18*'données'!$F$5</f>
        <v>2800</v>
      </c>
      <c r="K4" s="9">
        <f>'données'!K18*'données'!$F$5</f>
        <v>2100</v>
      </c>
      <c r="L4" s="9">
        <f>'données'!L18*'données'!$F$5</f>
        <v>6650</v>
      </c>
      <c r="M4" s="9">
        <f>'données'!M18*'données'!$F$5</f>
        <v>4550</v>
      </c>
      <c r="N4" s="9">
        <f t="shared" si="1"/>
        <v>56350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50</v>
      </c>
      <c r="B5" s="9">
        <f>'données'!B19*'données'!$F$6</f>
        <v>390</v>
      </c>
      <c r="C5" s="9">
        <f>'données'!C19*'données'!$F$6</f>
        <v>750</v>
      </c>
      <c r="D5" s="9">
        <f>'données'!D19*'données'!$F$6</f>
        <v>180</v>
      </c>
      <c r="E5" s="9">
        <f>'données'!E19*'données'!$F$6</f>
        <v>570</v>
      </c>
      <c r="F5" s="9">
        <f>'données'!F19*'données'!$F$6</f>
        <v>750</v>
      </c>
      <c r="G5" s="9">
        <f>'données'!G19*'données'!$F$6</f>
        <v>390</v>
      </c>
      <c r="H5" s="9">
        <f>'données'!H19*'données'!$F$6</f>
        <v>510</v>
      </c>
      <c r="I5" s="9">
        <f>'données'!I19*'données'!$F$6</f>
        <v>330</v>
      </c>
      <c r="J5" s="9">
        <f>'données'!J19*'données'!$F$6</f>
        <v>450</v>
      </c>
      <c r="K5" s="9">
        <f>'données'!K19*'données'!$F$6</f>
        <v>180</v>
      </c>
      <c r="L5" s="9">
        <f>'données'!L19*'données'!$F$6</f>
        <v>630</v>
      </c>
      <c r="M5" s="9">
        <f>'données'!M19*'données'!$F$6</f>
        <v>180</v>
      </c>
      <c r="N5" s="9">
        <f t="shared" si="1"/>
        <v>5310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51</v>
      </c>
      <c r="B6" s="9">
        <f>'données'!B20*'données'!$F$7</f>
        <v>780</v>
      </c>
      <c r="C6" s="9">
        <f>'données'!C20*'données'!$F$7</f>
        <v>1080</v>
      </c>
      <c r="D6" s="9">
        <f>'données'!D20*'données'!$F$7</f>
        <v>840</v>
      </c>
      <c r="E6" s="9">
        <f>'données'!E20*'données'!$F$7</f>
        <v>1440</v>
      </c>
      <c r="F6" s="9">
        <f>'données'!F20*'données'!$F$7</f>
        <v>540</v>
      </c>
      <c r="G6" s="9">
        <f>'données'!G20*'données'!$F$7</f>
        <v>1080</v>
      </c>
      <c r="H6" s="9">
        <f>'données'!H20*'données'!$F$7</f>
        <v>1020</v>
      </c>
      <c r="I6" s="9">
        <f>'données'!I20*'données'!$F$7</f>
        <v>540</v>
      </c>
      <c r="J6" s="9">
        <f>'données'!J20*'données'!$F$7</f>
        <v>840</v>
      </c>
      <c r="K6" s="9">
        <f>'données'!K20*'données'!$F$7</f>
        <v>1320</v>
      </c>
      <c r="L6" s="9">
        <f>'données'!L20*'données'!$F$7</f>
        <v>840</v>
      </c>
      <c r="M6" s="9">
        <f>'données'!M20*'données'!$F$7</f>
        <v>1140</v>
      </c>
      <c r="N6" s="9">
        <f t="shared" si="1"/>
        <v>11460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52</v>
      </c>
      <c r="B7" s="9">
        <f t="shared" ref="B7:M7" si="2">SUM(B2:B6)</f>
        <v>8170</v>
      </c>
      <c r="C7" s="9">
        <f t="shared" si="2"/>
        <v>9680</v>
      </c>
      <c r="D7" s="9">
        <f t="shared" si="2"/>
        <v>16320</v>
      </c>
      <c r="E7" s="9">
        <f t="shared" si="2"/>
        <v>10460</v>
      </c>
      <c r="F7" s="9">
        <f t="shared" si="2"/>
        <v>13690</v>
      </c>
      <c r="G7" s="9">
        <f t="shared" si="2"/>
        <v>15970</v>
      </c>
      <c r="H7" s="9">
        <f t="shared" si="2"/>
        <v>10480</v>
      </c>
      <c r="I7" s="9">
        <f t="shared" si="2"/>
        <v>13120</v>
      </c>
      <c r="J7" s="9">
        <f t="shared" si="2"/>
        <v>7240</v>
      </c>
      <c r="K7" s="9">
        <f t="shared" si="2"/>
        <v>8900</v>
      </c>
      <c r="L7" s="9">
        <f t="shared" si="2"/>
        <v>15370</v>
      </c>
      <c r="M7" s="9">
        <f t="shared" si="2"/>
        <v>9320</v>
      </c>
      <c r="N7" s="9">
        <f t="shared" si="1"/>
        <v>138720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53</v>
      </c>
      <c r="B8" s="9">
        <f>'données'!$B$11</f>
        <v>4696.666667</v>
      </c>
      <c r="C8" s="9">
        <f>'données'!$B$11</f>
        <v>4696.666667</v>
      </c>
      <c r="D8" s="9">
        <f>'données'!$B$11</f>
        <v>4696.666667</v>
      </c>
      <c r="E8" s="9">
        <f>'données'!$B$11</f>
        <v>4696.666667</v>
      </c>
      <c r="F8" s="9">
        <f>'données'!$B$11</f>
        <v>4696.666667</v>
      </c>
      <c r="G8" s="9">
        <f>'données'!$B$11</f>
        <v>4696.666667</v>
      </c>
      <c r="H8" s="9">
        <f>'données'!$B$11</f>
        <v>4696.666667</v>
      </c>
      <c r="I8" s="9">
        <f>'données'!$B$11</f>
        <v>4696.666667</v>
      </c>
      <c r="J8" s="9">
        <f>'données'!$B$11</f>
        <v>4696.666667</v>
      </c>
      <c r="K8" s="9">
        <f>'données'!$B$11</f>
        <v>4696.666667</v>
      </c>
      <c r="L8" s="9">
        <f>'données'!$B$11</f>
        <v>4696.666667</v>
      </c>
      <c r="M8" s="9">
        <f>'données'!$B$11</f>
        <v>4696.666667</v>
      </c>
      <c r="N8" s="9">
        <f t="shared" si="1"/>
        <v>56360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54</v>
      </c>
      <c r="B9" s="9">
        <f>'données'!B16*'données'!$I$3</f>
        <v>1300</v>
      </c>
      <c r="C9" s="9">
        <f>'données'!C16*'données'!$I$3</f>
        <v>700</v>
      </c>
      <c r="D9" s="9">
        <f>'données'!D16*'données'!$I$3</f>
        <v>2500</v>
      </c>
      <c r="E9" s="9">
        <f>'données'!E16*'données'!$I$3</f>
        <v>2200</v>
      </c>
      <c r="F9" s="9">
        <f>'données'!F16*'données'!$I$3</f>
        <v>700</v>
      </c>
      <c r="G9" s="9">
        <f>'données'!G16*'données'!$I$3</f>
        <v>1500</v>
      </c>
      <c r="H9" s="9">
        <f>'données'!H16*'données'!$I$3</f>
        <v>1000</v>
      </c>
      <c r="I9" s="9">
        <f>'données'!I16*'données'!$I$3</f>
        <v>2400</v>
      </c>
      <c r="J9" s="9">
        <f>'données'!J16*'données'!$I$3</f>
        <v>600</v>
      </c>
      <c r="K9" s="9">
        <f>'données'!K16*'données'!$I$3</f>
        <v>700</v>
      </c>
      <c r="L9" s="9">
        <f>'données'!L16*'données'!$I$3</f>
        <v>1000</v>
      </c>
      <c r="M9" s="9">
        <f>'données'!M16*'données'!$I$3</f>
        <v>1300</v>
      </c>
      <c r="N9" s="9">
        <f t="shared" si="1"/>
        <v>15900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55</v>
      </c>
      <c r="B10" s="9">
        <f>'données'!B17*'données'!$I$4</f>
        <v>1350</v>
      </c>
      <c r="C10" s="9">
        <f>'données'!C17*'données'!$I$4</f>
        <v>1350</v>
      </c>
      <c r="D10" s="9">
        <f>'données'!D17*'données'!$I$4</f>
        <v>3150</v>
      </c>
      <c r="E10" s="9">
        <f>'données'!E17*'données'!$I$4</f>
        <v>1200</v>
      </c>
      <c r="F10" s="9">
        <f>'données'!F17*'données'!$I$4</f>
        <v>2400</v>
      </c>
      <c r="G10" s="9">
        <f>'données'!G17*'données'!$I$4</f>
        <v>2100</v>
      </c>
      <c r="H10" s="9">
        <f>'données'!H17*'données'!$I$4</f>
        <v>3000</v>
      </c>
      <c r="I10" s="9">
        <f>'données'!I17*'données'!$I$4</f>
        <v>2250</v>
      </c>
      <c r="J10" s="9">
        <f>'données'!J17*'données'!$I$4</f>
        <v>1350</v>
      </c>
      <c r="K10" s="9">
        <f>'données'!K17*'données'!$I$4</f>
        <v>2550</v>
      </c>
      <c r="L10" s="9">
        <f>'données'!L17*'données'!$I$4</f>
        <v>3450</v>
      </c>
      <c r="M10" s="9">
        <f>'données'!M17*'données'!$I$4</f>
        <v>900</v>
      </c>
      <c r="N10" s="9">
        <f t="shared" si="1"/>
        <v>25050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56</v>
      </c>
      <c r="B11" s="9">
        <f>'données'!B18*'données'!$I$5</f>
        <v>1600</v>
      </c>
      <c r="C11" s="9">
        <f>'données'!C18*'données'!$I$5</f>
        <v>2600</v>
      </c>
      <c r="D11" s="9">
        <f>'données'!D18*'données'!$I$5</f>
        <v>3600</v>
      </c>
      <c r="E11" s="9">
        <f>'données'!E18*'données'!$I$5</f>
        <v>1800</v>
      </c>
      <c r="F11" s="9">
        <f>'données'!F18*'données'!$I$5</f>
        <v>4200</v>
      </c>
      <c r="G11" s="9">
        <f>'données'!G18*'données'!$I$5</f>
        <v>5000</v>
      </c>
      <c r="H11" s="9">
        <f>'données'!H18*'données'!$I$5</f>
        <v>1400</v>
      </c>
      <c r="I11" s="9">
        <f>'données'!I18*'données'!$I$5</f>
        <v>2800</v>
      </c>
      <c r="J11" s="9">
        <f>'données'!J18*'données'!$I$5</f>
        <v>1600</v>
      </c>
      <c r="K11" s="9">
        <f>'données'!K18*'données'!$I$5</f>
        <v>1200</v>
      </c>
      <c r="L11" s="9">
        <f>'données'!L18*'données'!$I$5</f>
        <v>3800</v>
      </c>
      <c r="M11" s="9">
        <f>'données'!M18*'données'!$I$5</f>
        <v>2600</v>
      </c>
      <c r="N11" s="9">
        <f t="shared" si="1"/>
        <v>32200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57</v>
      </c>
      <c r="B12" s="9">
        <f>'données'!B19*'données'!$I$6</f>
        <v>130</v>
      </c>
      <c r="C12" s="9">
        <f>'données'!C19*'données'!$I$6</f>
        <v>250</v>
      </c>
      <c r="D12" s="9">
        <f>'données'!D19*'données'!$I$6</f>
        <v>60</v>
      </c>
      <c r="E12" s="9">
        <f>'données'!E19*'données'!$I$6</f>
        <v>190</v>
      </c>
      <c r="F12" s="9">
        <f>'données'!F19*'données'!$I$6</f>
        <v>250</v>
      </c>
      <c r="G12" s="9">
        <f>'données'!G19*'données'!$I$6</f>
        <v>130</v>
      </c>
      <c r="H12" s="9">
        <f>'données'!H19*'données'!$I$6</f>
        <v>170</v>
      </c>
      <c r="I12" s="9">
        <f>'données'!I19*'données'!$I$6</f>
        <v>110</v>
      </c>
      <c r="J12" s="9">
        <f>'données'!J19*'données'!$I$6</f>
        <v>150</v>
      </c>
      <c r="K12" s="9">
        <f>'données'!K19*'données'!$I$6</f>
        <v>60</v>
      </c>
      <c r="L12" s="9">
        <f>'données'!L19*'données'!$I$6</f>
        <v>210</v>
      </c>
      <c r="M12" s="9">
        <f>'données'!M19*'données'!$I$6</f>
        <v>60</v>
      </c>
      <c r="N12" s="9">
        <f t="shared" si="1"/>
        <v>1770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58</v>
      </c>
      <c r="B13" s="9">
        <f>'données'!B20*'données'!$I$7</f>
        <v>260</v>
      </c>
      <c r="C13" s="9">
        <f>'données'!C20*'données'!$I$7</f>
        <v>360</v>
      </c>
      <c r="D13" s="9">
        <f>'données'!D20*'données'!$I$7</f>
        <v>280</v>
      </c>
      <c r="E13" s="9">
        <f>'données'!E20*'données'!$I$7</f>
        <v>480</v>
      </c>
      <c r="F13" s="9">
        <f>'données'!F20*'données'!$I$7</f>
        <v>180</v>
      </c>
      <c r="G13" s="9">
        <f>'données'!G20*'données'!$I$7</f>
        <v>360</v>
      </c>
      <c r="H13" s="9">
        <f>'données'!H20*'données'!$I$7</f>
        <v>340</v>
      </c>
      <c r="I13" s="9">
        <f>'données'!I20*'données'!$I$7</f>
        <v>180</v>
      </c>
      <c r="J13" s="9">
        <f>'données'!J20*'données'!$I$7</f>
        <v>280</v>
      </c>
      <c r="K13" s="9">
        <f>'données'!K20*'données'!$I$7</f>
        <v>440</v>
      </c>
      <c r="L13" s="9">
        <f>'données'!L20*'données'!$I$7</f>
        <v>280</v>
      </c>
      <c r="M13" s="9">
        <f>'données'!M20*'données'!$I$7</f>
        <v>380</v>
      </c>
      <c r="N13" s="9">
        <f t="shared" si="1"/>
        <v>3820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14</v>
      </c>
      <c r="B14" s="9">
        <f>SUM(B2:B4)*'données'!$L$3</f>
        <v>700</v>
      </c>
      <c r="C14" s="9">
        <f>SUM(C2:C4)*'données'!$L$3</f>
        <v>785</v>
      </c>
      <c r="D14" s="9">
        <f>SUM(D2:D4)*'données'!$L$3</f>
        <v>1530</v>
      </c>
      <c r="E14" s="9">
        <f>SUM(E2:E4)*'données'!$L$3</f>
        <v>845</v>
      </c>
      <c r="F14" s="9">
        <f>SUM(F2:F4)*'données'!$L$3</f>
        <v>1240</v>
      </c>
      <c r="G14" s="9">
        <f>SUM(G2:G4)*'données'!$L$3</f>
        <v>1450</v>
      </c>
      <c r="H14" s="9">
        <f>SUM(H2:H4)*'données'!$L$3</f>
        <v>895</v>
      </c>
      <c r="I14" s="9">
        <f>SUM(I2:I4)*'données'!$L$3</f>
        <v>1225</v>
      </c>
      <c r="J14" s="9">
        <f>SUM(J2:J4)*'données'!$L$3</f>
        <v>595</v>
      </c>
      <c r="K14" s="9">
        <f>SUM(K2:K4)*'données'!$L$3</f>
        <v>740</v>
      </c>
      <c r="L14" s="9">
        <f>SUM(L2:L4)*'données'!$L$3</f>
        <v>1390</v>
      </c>
      <c r="M14" s="9">
        <f>SUM(M2:M4)*'données'!$L$3</f>
        <v>800</v>
      </c>
      <c r="N14" s="9">
        <f t="shared" si="1"/>
        <v>12195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17</v>
      </c>
      <c r="B15" s="9">
        <f>SUM(B5:B6)*'données'!$L$4</f>
        <v>234</v>
      </c>
      <c r="C15" s="9">
        <f>SUM(C5:C6)*'données'!$L$4</f>
        <v>366</v>
      </c>
      <c r="D15" s="9">
        <f>SUM(D5:D6)*'données'!$L$4</f>
        <v>204</v>
      </c>
      <c r="E15" s="9">
        <f>SUM(E5:E6)*'données'!$L$4</f>
        <v>402</v>
      </c>
      <c r="F15" s="9">
        <f>SUM(F5:F6)*'données'!$L$4</f>
        <v>258</v>
      </c>
      <c r="G15" s="9">
        <f>SUM(G5:G6)*'données'!$L$4</f>
        <v>294</v>
      </c>
      <c r="H15" s="9">
        <f>SUM(H5:H6)*'données'!$L$4</f>
        <v>306</v>
      </c>
      <c r="I15" s="9">
        <f>SUM(I5:I6)*'données'!$L$4</f>
        <v>174</v>
      </c>
      <c r="J15" s="9">
        <f>SUM(J5:J6)*'données'!$L$4</f>
        <v>258</v>
      </c>
      <c r="K15" s="9">
        <f>SUM(K5:K6)*'données'!$L$4</f>
        <v>300</v>
      </c>
      <c r="L15" s="9">
        <f>SUM(L5:L6)*'données'!$L$4</f>
        <v>294</v>
      </c>
      <c r="M15" s="9">
        <f>SUM(M5:M6)*'données'!$L$4</f>
        <v>264</v>
      </c>
      <c r="N15" s="9">
        <f t="shared" si="1"/>
        <v>3354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59</v>
      </c>
      <c r="B16" s="9">
        <f t="shared" ref="B16:M16" si="3">SUM(B9:B15)</f>
        <v>5574</v>
      </c>
      <c r="C16" s="9">
        <f t="shared" si="3"/>
        <v>6411</v>
      </c>
      <c r="D16" s="9">
        <f t="shared" si="3"/>
        <v>11324</v>
      </c>
      <c r="E16" s="9">
        <f t="shared" si="3"/>
        <v>7117</v>
      </c>
      <c r="F16" s="9">
        <f t="shared" si="3"/>
        <v>9228</v>
      </c>
      <c r="G16" s="9">
        <f t="shared" si="3"/>
        <v>10834</v>
      </c>
      <c r="H16" s="9">
        <f t="shared" si="3"/>
        <v>7111</v>
      </c>
      <c r="I16" s="9">
        <f t="shared" si="3"/>
        <v>9139</v>
      </c>
      <c r="J16" s="9">
        <f t="shared" si="3"/>
        <v>4833</v>
      </c>
      <c r="K16" s="9">
        <f t="shared" si="3"/>
        <v>5990</v>
      </c>
      <c r="L16" s="9">
        <f t="shared" si="3"/>
        <v>10424</v>
      </c>
      <c r="M16" s="9">
        <f t="shared" si="3"/>
        <v>6304</v>
      </c>
      <c r="N16" s="9">
        <f t="shared" si="1"/>
        <v>94289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60</v>
      </c>
      <c r="B17" s="9">
        <f t="shared" ref="B17:M17" si="4">B8+B16</f>
        <v>10270.66667</v>
      </c>
      <c r="C17" s="9">
        <f t="shared" si="4"/>
        <v>11107.66667</v>
      </c>
      <c r="D17" s="9">
        <f t="shared" si="4"/>
        <v>16020.66667</v>
      </c>
      <c r="E17" s="9">
        <f t="shared" si="4"/>
        <v>11813.66667</v>
      </c>
      <c r="F17" s="9">
        <f t="shared" si="4"/>
        <v>13924.66667</v>
      </c>
      <c r="G17" s="9">
        <f t="shared" si="4"/>
        <v>15530.66667</v>
      </c>
      <c r="H17" s="9">
        <f t="shared" si="4"/>
        <v>11807.66667</v>
      </c>
      <c r="I17" s="9">
        <f t="shared" si="4"/>
        <v>13835.66667</v>
      </c>
      <c r="J17" s="9">
        <f t="shared" si="4"/>
        <v>9529.666667</v>
      </c>
      <c r="K17" s="9">
        <f t="shared" si="4"/>
        <v>10686.66667</v>
      </c>
      <c r="L17" s="9">
        <f t="shared" si="4"/>
        <v>15120.66667</v>
      </c>
      <c r="M17" s="9">
        <f t="shared" si="4"/>
        <v>11000.66667</v>
      </c>
      <c r="N17" s="9">
        <f t="shared" si="1"/>
        <v>150649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61</v>
      </c>
      <c r="B18" s="10">
        <f t="shared" ref="B18:M18" si="5">B7-B17</f>
        <v>-2100.666667</v>
      </c>
      <c r="C18" s="10">
        <f t="shared" si="5"/>
        <v>-1427.666667</v>
      </c>
      <c r="D18" s="10">
        <f t="shared" si="5"/>
        <v>299.3333333</v>
      </c>
      <c r="E18" s="10">
        <f t="shared" si="5"/>
        <v>-1353.666667</v>
      </c>
      <c r="F18" s="10">
        <f t="shared" si="5"/>
        <v>-234.6666667</v>
      </c>
      <c r="G18" s="10">
        <f t="shared" si="5"/>
        <v>439.3333333</v>
      </c>
      <c r="H18" s="10">
        <f t="shared" si="5"/>
        <v>-1327.666667</v>
      </c>
      <c r="I18" s="10">
        <f t="shared" si="5"/>
        <v>-715.6666667</v>
      </c>
      <c r="J18" s="10">
        <f t="shared" si="5"/>
        <v>-2289.666667</v>
      </c>
      <c r="K18" s="10">
        <f t="shared" si="5"/>
        <v>-1786.666667</v>
      </c>
      <c r="L18" s="10">
        <f t="shared" si="5"/>
        <v>249.3333333</v>
      </c>
      <c r="M18" s="10">
        <f t="shared" si="5"/>
        <v>-1680.666667</v>
      </c>
      <c r="N18" s="9">
        <f t="shared" si="1"/>
        <v>-11929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drawing r:id="rId1"/>
  <tableParts count="1">
    <tablePart r:id="rId3"/>
  </tableParts>
</worksheet>
</file>